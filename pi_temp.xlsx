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positos UFSM por ano" sheetId="1" r:id="rId4"/>
    <sheet state="visible" name="Concedidos por ano" sheetId="2" r:id="rId5"/>
    <sheet state="visible" name="PCT" sheetId="3" r:id="rId6"/>
    <sheet state="visible" name="Depositos no exterior" sheetId="4" r:id="rId7"/>
  </sheets>
  <definedNames/>
  <calcPr/>
  <extLst>
    <ext uri="GoogleSheetsCustomDataVersion2">
      <go:sheetsCustomData xmlns:go="http://customooxmlschemas.google.com/" r:id="rId8" roundtripDataChecksum="f8KVLd7ETPkkT34nsWAY6/fOR9yp8Ktmjp1FN922FcQ="/>
    </ext>
  </extLst>
</workbook>
</file>

<file path=xl/sharedStrings.xml><?xml version="1.0" encoding="utf-8"?>
<sst xmlns="http://schemas.openxmlformats.org/spreadsheetml/2006/main" count="85" uniqueCount="69">
  <si>
    <t>Depósitos por ano</t>
  </si>
  <si>
    <t>Patente (PI, MU, CA e PI exterior)</t>
  </si>
  <si>
    <t>Removido</t>
  </si>
  <si>
    <t>Programa de computador</t>
  </si>
  <si>
    <t>Desenho industrial</t>
  </si>
  <si>
    <t>Marca</t>
  </si>
  <si>
    <t>Cultivar</t>
  </si>
  <si>
    <t>Total de pedidos depositados</t>
  </si>
  <si>
    <t>1996 a 2004</t>
  </si>
  <si>
    <t>ver planilha PCT</t>
  </si>
  <si>
    <t xml:space="preserve">PCT não é ativo PI </t>
  </si>
  <si>
    <t>(considerar como estratégia PI)</t>
  </si>
  <si>
    <t>Observação:</t>
  </si>
  <si>
    <t xml:space="preserve">pedidos depositados, mas não necessariamente ativos. </t>
  </si>
  <si>
    <t>Revisado em 04/02/2026</t>
  </si>
  <si>
    <t>alteração em 2025: 29 depositados</t>
  </si>
  <si>
    <t>Atualizado 03/07/2026</t>
  </si>
  <si>
    <t>Sistema Apol = processos depositados pela UFSM</t>
  </si>
  <si>
    <t>(usar o filtro controlado + arquivo morto)</t>
  </si>
  <si>
    <t xml:space="preserve">Sistema Apol = processos depositados no exterior </t>
  </si>
  <si>
    <t>(aba INTERNACIONAL: pesquisar por data de depósito internacional)</t>
  </si>
  <si>
    <t>439-PC depositado 2018</t>
  </si>
  <si>
    <t xml:space="preserve">cedido </t>
  </si>
  <si>
    <t>Concedidos por ano</t>
  </si>
  <si>
    <t>Patente (PI, MU, CA)</t>
  </si>
  <si>
    <t>PI exterior</t>
  </si>
  <si>
    <t>Total de pedidos concedidos</t>
  </si>
  <si>
    <t>Atualizado 04/02/2026</t>
  </si>
  <si>
    <t>alteração em 2025: 29 concedidos</t>
  </si>
  <si>
    <t>Brasil (quantidade)</t>
  </si>
  <si>
    <t>Exterior (processos)</t>
  </si>
  <si>
    <t xml:space="preserve">Concedidos 2017 </t>
  </si>
  <si>
    <t>2 PI + 1 MU</t>
  </si>
  <si>
    <t>N/A</t>
  </si>
  <si>
    <t>Concedidos 2018</t>
  </si>
  <si>
    <t>3 PI + 1 MU</t>
  </si>
  <si>
    <t>213 e 442-MU</t>
  </si>
  <si>
    <t>Concedidos 2019</t>
  </si>
  <si>
    <t xml:space="preserve">4 PI </t>
  </si>
  <si>
    <t>327 e 350</t>
  </si>
  <si>
    <t>Concedidos 2020</t>
  </si>
  <si>
    <t>5 PI + 1 MU</t>
  </si>
  <si>
    <t>Concedidos 2021</t>
  </si>
  <si>
    <t>20 PI</t>
  </si>
  <si>
    <t>Concedidos 2022</t>
  </si>
  <si>
    <t>18 PI</t>
  </si>
  <si>
    <t>Concedidos 2023</t>
  </si>
  <si>
    <t>Concedidos 2024</t>
  </si>
  <si>
    <t>8 PI</t>
  </si>
  <si>
    <t>Concedidos 2025</t>
  </si>
  <si>
    <t>12 PI</t>
  </si>
  <si>
    <t>PCT</t>
  </si>
  <si>
    <t>Processos</t>
  </si>
  <si>
    <t xml:space="preserve">142 - 264 - 265 - 266 - 267 - 268 </t>
  </si>
  <si>
    <t>141 - 213</t>
  </si>
  <si>
    <t xml:space="preserve">350 - 327 </t>
  </si>
  <si>
    <t>PCT não é ativo PI (é estratégia de proteção).</t>
  </si>
  <si>
    <t>Revisado 17/12/2025.</t>
  </si>
  <si>
    <t xml:space="preserve">O termo "PCT" geralmente se refere ao Tratado de Cooperação em Matéria de Patentes (Patent Cooperation Treaty), um procedimento internacional para pedidos de patentes. Um pedido PCT em si não resulta em uma patente concedida, mas sim estabelece uma data de depósito internacional que pode ser usada em vários países. 
Um pedido PCT "expira" no sentido de que o requerente deve entrar nas fases nacionais ou regionais em cada país desejado dentro de um prazo específico para prosseguir com a concessão da patente. Esse prazo é geralmente de 30 ou 31 meses a partir da data de prioridade (a data do primeiro depósito do pedido). </t>
  </si>
  <si>
    <t>264-US/ 264-CAN/ 265-US/ 265-AR/ 266-EP/ 266-CAN/ 267-US/ 267-AR</t>
  </si>
  <si>
    <t>213-PT</t>
  </si>
  <si>
    <t>327-US/ 350-PT</t>
  </si>
  <si>
    <t>350-AR</t>
  </si>
  <si>
    <t>405-US/ 405-EP</t>
  </si>
  <si>
    <t>442-ES</t>
  </si>
  <si>
    <t>511-EP/ 511-US</t>
  </si>
  <si>
    <t>1038-PT</t>
  </si>
  <si>
    <t>1208-Indonésia/ 1208-India</t>
  </si>
  <si>
    <t>ok Juliana</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</si>
</sst>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font>
    <font>
      <color theme="1"/>
      <name val="Arial"/>
    </font>
    <font>
      <sz val="8.0"/>
      <color theme="1"/>
      <name val="Arial"/>
    </font>
    <font>
      <color theme="1"/>
      <name val="Arial"/>
      <scheme val="minor"/>
    </font>
    <font>
      <sz val="12.0"/>
      <color theme="1"/>
      <name val="Arial"/>
      <scheme val="minor"/>
    </font>
  </fonts>
  <fills count="15">
    <fill>
      <patternFill patternType="none"/>
    </fill>
    <fill>
      <patternFill patternType="lightGray"/>
    </fill>
    <fill>
      <patternFill patternType="solid">
        <fgColor rgb="FFC9DAF8"/>
        <bgColor rgb="FFC9DAF8"/>
      </patternFill>
    </fill>
    <fill>
      <patternFill patternType="solid">
        <fgColor rgb="FFD9D9D9"/>
        <bgColor rgb="FFD9D9D9"/>
      </patternFill>
    </fill>
    <fill>
      <patternFill patternType="solid">
        <fgColor rgb="FFB6D7A8"/>
        <bgColor rgb="FFB6D7A8"/>
      </patternFill>
    </fill>
    <fill>
      <patternFill patternType="solid">
        <fgColor rgb="FFFFFF00"/>
        <bgColor rgb="FFFFFF00"/>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00FF00"/>
        <bgColor rgb="FF00FF00"/>
      </patternFill>
    </fill>
    <fill>
      <patternFill patternType="solid">
        <fgColor rgb="FFFCE5CD"/>
        <bgColor rgb="FFFCE5CD"/>
      </patternFill>
    </fill>
    <fill>
      <patternFill patternType="solid">
        <fgColor rgb="FF00FFFF"/>
        <bgColor rgb="FF00FFFF"/>
      </patternFill>
    </fill>
    <fill>
      <patternFill patternType="solid">
        <fgColor rgb="FFCCCCCC"/>
        <bgColor rgb="FFCCCCCC"/>
      </patternFill>
    </fill>
    <fill>
      <patternFill patternType="solid">
        <fgColor rgb="FFF3F3F3"/>
        <bgColor rgb="FFF3F3F3"/>
      </patternFill>
    </fill>
    <fill>
      <patternFill patternType="solid">
        <fgColor rgb="FFD5A6BD"/>
        <bgColor rgb="FFD5A6BD"/>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shrinkToFit="0" wrapText="1"/>
    </xf>
    <xf borderId="1" fillId="2" fontId="1" numFmtId="0" xfId="0" applyAlignment="1" applyBorder="1" applyFont="1">
      <alignment horizontal="center"/>
    </xf>
    <xf borderId="1" fillId="3" fontId="1" numFmtId="0" xfId="0" applyAlignment="1" applyBorder="1" applyFill="1" applyFont="1">
      <alignment horizontal="center" readingOrder="0"/>
    </xf>
    <xf borderId="1" fillId="2" fontId="1" numFmtId="0" xfId="0" applyAlignment="1" applyBorder="1" applyFont="1">
      <alignment horizontal="center" shrinkToFit="0" wrapText="1"/>
    </xf>
    <xf borderId="1" fillId="4" fontId="1" numFmtId="0" xfId="0" applyAlignment="1" applyBorder="1" applyFill="1" applyFont="1">
      <alignment horizontal="center" shrinkToFit="0" wrapText="1"/>
    </xf>
    <xf borderId="0" fillId="4" fontId="1" numFmtId="0" xfId="0" applyAlignment="1" applyFont="1">
      <alignment horizontal="center" shrinkToFit="0" wrapText="1"/>
    </xf>
    <xf borderId="1" fillId="0" fontId="2" numFmtId="0" xfId="0" applyAlignment="1" applyBorder="1" applyFont="1">
      <alignment horizontal="center" readingOrder="0"/>
    </xf>
    <xf borderId="1" fillId="5" fontId="2" numFmtId="0" xfId="0" applyAlignment="1" applyBorder="1" applyFill="1" applyFont="1">
      <alignment horizontal="center" readingOrder="0"/>
    </xf>
    <xf borderId="1" fillId="3" fontId="2" numFmtId="0" xfId="0" applyAlignment="1" applyBorder="1" applyFont="1">
      <alignment horizontal="center" readingOrder="0"/>
    </xf>
    <xf borderId="1" fillId="0" fontId="2" numFmtId="0" xfId="0" applyAlignment="1" applyBorder="1" applyFont="1">
      <alignment horizontal="center"/>
    </xf>
    <xf borderId="0" fillId="0" fontId="2" numFmtId="0" xfId="0" applyAlignment="1" applyFont="1">
      <alignment horizontal="center"/>
    </xf>
    <xf borderId="1" fillId="5" fontId="2" numFmtId="0" xfId="0" applyAlignment="1" applyBorder="1" applyFont="1">
      <alignment horizontal="center"/>
    </xf>
    <xf borderId="1" fillId="3" fontId="3" numFmtId="0" xfId="0" applyAlignment="1" applyBorder="1" applyFont="1">
      <alignment horizontal="center" readingOrder="0"/>
    </xf>
    <xf borderId="0" fillId="5" fontId="2" numFmtId="0" xfId="0" applyAlignment="1" applyFont="1">
      <alignment horizontal="center"/>
    </xf>
    <xf borderId="1" fillId="3" fontId="2" numFmtId="0" xfId="0" applyAlignment="1" applyBorder="1" applyFont="1">
      <alignment horizontal="center"/>
    </xf>
    <xf borderId="1" fillId="0" fontId="2" numFmtId="0" xfId="0" applyAlignment="1" applyBorder="1" applyFont="1">
      <alignment horizontal="center" shrinkToFit="0" wrapText="1"/>
    </xf>
    <xf borderId="1" fillId="5" fontId="2" numFmtId="0" xfId="0" applyAlignment="1" applyBorder="1" applyFont="1">
      <alignment horizontal="center"/>
    </xf>
    <xf borderId="0" fillId="5" fontId="2" numFmtId="0" xfId="0" applyAlignment="1" applyFont="1">
      <alignment horizontal="center"/>
    </xf>
    <xf borderId="1" fillId="6" fontId="2" numFmtId="0" xfId="0" applyAlignment="1" applyBorder="1" applyFill="1" applyFont="1">
      <alignment horizontal="center" readingOrder="0"/>
    </xf>
    <xf borderId="0" fillId="6" fontId="2" numFmtId="0" xfId="0" applyAlignment="1" applyFont="1">
      <alignment horizontal="left" readingOrder="0"/>
    </xf>
    <xf borderId="0" fillId="0" fontId="2" numFmtId="0" xfId="0" applyAlignment="1" applyFont="1">
      <alignment horizontal="center" readingOrder="0"/>
    </xf>
    <xf borderId="0" fillId="0" fontId="2" numFmtId="0" xfId="0" applyAlignment="1" applyFont="1">
      <alignment horizontal="center" readingOrder="0"/>
    </xf>
    <xf borderId="0" fillId="7" fontId="2" numFmtId="0" xfId="0" applyAlignment="1" applyFill="1" applyFont="1">
      <alignment horizontal="center"/>
    </xf>
    <xf borderId="0" fillId="7" fontId="2" numFmtId="0" xfId="0" applyAlignment="1" applyFont="1">
      <alignment horizontal="center" readingOrder="0"/>
    </xf>
    <xf borderId="0" fillId="8" fontId="2" numFmtId="0" xfId="0" applyAlignment="1" applyFill="1" applyFont="1">
      <alignment horizontal="center"/>
    </xf>
    <xf borderId="0" fillId="8" fontId="2" numFmtId="0" xfId="0" applyAlignment="1" applyFont="1">
      <alignment horizontal="center" readingOrder="0"/>
    </xf>
    <xf borderId="0" fillId="8" fontId="4" numFmtId="0" xfId="0" applyAlignment="1" applyFont="1">
      <alignment horizontal="center"/>
    </xf>
    <xf borderId="0" fillId="9" fontId="2" numFmtId="0" xfId="0" applyFill="1" applyFont="1"/>
    <xf borderId="0" fillId="0" fontId="2" numFmtId="0" xfId="0" applyFont="1"/>
    <xf borderId="0" fillId="0" fontId="4" numFmtId="0" xfId="0" applyAlignment="1" applyFont="1">
      <alignment readingOrder="0"/>
    </xf>
    <xf borderId="0" fillId="2" fontId="4" numFmtId="0" xfId="0" applyAlignment="1" applyFont="1">
      <alignment readingOrder="0"/>
    </xf>
    <xf borderId="0" fillId="2" fontId="4" numFmtId="0" xfId="0" applyFont="1"/>
    <xf borderId="0" fillId="10" fontId="4" numFmtId="0" xfId="0" applyAlignment="1" applyFill="1" applyFont="1">
      <alignment readingOrder="0"/>
    </xf>
    <xf borderId="0" fillId="10" fontId="4" numFmtId="0" xfId="0" applyFont="1"/>
    <xf borderId="0" fillId="11" fontId="4" numFmtId="0" xfId="0" applyAlignment="1" applyFill="1" applyFont="1">
      <alignment readingOrder="0"/>
    </xf>
    <xf borderId="0" fillId="4" fontId="1" numFmtId="0" xfId="0" applyAlignment="1" applyFont="1">
      <alignment horizontal="center" readingOrder="0" shrinkToFit="0" wrapText="1"/>
    </xf>
    <xf borderId="1" fillId="4" fontId="1" numFmtId="0" xfId="0" applyAlignment="1" applyBorder="1" applyFont="1">
      <alignment horizontal="center" readingOrder="0"/>
    </xf>
    <xf borderId="1" fillId="4" fontId="1" numFmtId="0" xfId="0" applyAlignment="1" applyBorder="1" applyFont="1">
      <alignment horizontal="center"/>
    </xf>
    <xf borderId="1" fillId="4" fontId="1" numFmtId="0" xfId="0" applyAlignment="1" applyBorder="1" applyFont="1">
      <alignment horizontal="center" shrinkToFit="0" wrapText="1"/>
    </xf>
    <xf borderId="1" fillId="4" fontId="1" numFmtId="0" xfId="0" applyAlignment="1" applyBorder="1" applyFont="1">
      <alignment horizontal="center" readingOrder="0" shrinkToFit="0" wrapText="1"/>
    </xf>
    <xf borderId="0" fillId="6" fontId="1" numFmtId="0" xfId="0" applyAlignment="1" applyFont="1">
      <alignment horizontal="center" shrinkToFit="0" wrapText="1"/>
    </xf>
    <xf borderId="1" fillId="6" fontId="2" numFmtId="0" xfId="0" applyAlignment="1" applyBorder="1" applyFont="1">
      <alignment horizontal="center"/>
    </xf>
    <xf borderId="0" fillId="0" fontId="4" numFmtId="0" xfId="0" applyAlignment="1" applyFont="1">
      <alignment horizontal="center" readingOrder="0"/>
    </xf>
    <xf borderId="0" fillId="0" fontId="2" numFmtId="0" xfId="0" applyAlignment="1" applyFont="1">
      <alignment readingOrder="0"/>
    </xf>
    <xf borderId="0" fillId="12" fontId="4" numFmtId="0" xfId="0" applyAlignment="1" applyFill="1" applyFont="1">
      <alignment readingOrder="0"/>
    </xf>
    <xf borderId="0" fillId="0" fontId="4" numFmtId="0" xfId="0" applyAlignment="1" applyFont="1">
      <alignment horizontal="left" readingOrder="0"/>
    </xf>
    <xf borderId="0" fillId="3" fontId="4" numFmtId="0" xfId="0" applyAlignment="1" applyFont="1">
      <alignment readingOrder="0"/>
    </xf>
    <xf borderId="0" fillId="0" fontId="4" numFmtId="0" xfId="0" applyAlignment="1" applyFont="1">
      <alignment horizontal="left"/>
    </xf>
    <xf borderId="1" fillId="4" fontId="1" numFmtId="0" xfId="0" applyAlignment="1" applyBorder="1" applyFont="1">
      <alignment horizontal="center" readingOrder="0" shrinkToFit="0" wrapText="1"/>
    </xf>
    <xf borderId="1" fillId="7" fontId="2" numFmtId="0" xfId="0" applyAlignment="1" applyBorder="1" applyFont="1">
      <alignment horizontal="center"/>
    </xf>
    <xf borderId="1" fillId="0" fontId="2" numFmtId="0" xfId="0" applyAlignment="1" applyBorder="1" applyFont="1">
      <alignment horizontal="center"/>
    </xf>
    <xf borderId="1" fillId="13" fontId="2" numFmtId="0" xfId="0" applyAlignment="1" applyBorder="1" applyFill="1" applyFont="1">
      <alignment horizontal="left" vertical="bottom"/>
    </xf>
    <xf borderId="1" fillId="6" fontId="2" numFmtId="0" xfId="0" applyAlignment="1" applyBorder="1" applyFont="1">
      <alignment horizontal="left" vertical="bottom"/>
    </xf>
    <xf borderId="1" fillId="0" fontId="2" numFmtId="0" xfId="0" applyAlignment="1" applyBorder="1" applyFont="1">
      <alignment horizontal="center" readingOrder="0"/>
    </xf>
    <xf borderId="1" fillId="0" fontId="2" numFmtId="0" xfId="0" applyAlignment="1" applyBorder="1" applyFont="1">
      <alignment horizontal="left" readingOrder="0"/>
    </xf>
    <xf borderId="0" fillId="14" fontId="2" numFmtId="0" xfId="0" applyAlignment="1" applyFill="1" applyFont="1">
      <alignment horizontal="center"/>
    </xf>
    <xf borderId="0" fillId="14" fontId="2" numFmtId="0" xfId="0" applyAlignment="1" applyFont="1">
      <alignment horizontal="center" readingOrder="0"/>
    </xf>
    <xf borderId="0" fillId="0" fontId="5" numFmtId="0" xfId="0" applyAlignment="1" applyFont="1">
      <alignment readingOrder="0" shrinkToFit="0" wrapText="1"/>
    </xf>
    <xf borderId="1" fillId="2" fontId="1" numFmtId="0" xfId="0" applyAlignment="1" applyBorder="1" applyFont="1">
      <alignment horizontal="center" readingOrder="0"/>
    </xf>
    <xf borderId="1" fillId="7" fontId="2" numFmtId="0" xfId="0" applyAlignment="1" applyBorder="1" applyFont="1">
      <alignment horizontal="center" readingOrder="0"/>
    </xf>
    <xf borderId="1" fillId="6" fontId="2" numFmtId="0" xfId="0" applyAlignment="1" applyBorder="1" applyFont="1">
      <alignment horizontal="left" readingOrder="0" vertical="bottom"/>
    </xf>
    <xf borderId="1" fillId="13" fontId="2" numFmtId="0" xfId="0" applyAlignment="1" applyBorder="1" applyFont="1">
      <alignment horizontal="left" readingOrder="0" vertical="bottom"/>
    </xf>
    <xf borderId="0" fillId="14" fontId="2" numFmtId="0" xfId="0" applyAlignment="1" applyFont="1">
      <alignment horizontal="center"/>
    </xf>
    <xf borderId="0" fillId="14" fontId="2" numFmtId="0" xfId="0" applyAlignment="1" applyFont="1">
      <alignment horizontal="center"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4">
    <tableStyle count="3" pivot="0" name="Depositos UFSM por ano-style">
      <tableStyleElement dxfId="1" type="headerRow"/>
      <tableStyleElement dxfId="2" type="firstRowStripe"/>
      <tableStyleElement dxfId="3" type="secondRowStripe"/>
    </tableStyle>
    <tableStyle count="3" pivot="0" name="Concedidos por ano-style">
      <tableStyleElement dxfId="1" type="headerRow"/>
      <tableStyleElement dxfId="2" type="firstRowStripe"/>
      <tableStyleElement dxfId="3" type="secondRowStripe"/>
    </tableStyle>
    <tableStyle count="3" pivot="0" name="PCT-style">
      <tableStyleElement dxfId="1" type="headerRow"/>
      <tableStyleElement dxfId="2" type="firstRowStripe"/>
      <tableStyleElement dxfId="3" type="secondRowStripe"/>
    </tableStyle>
    <tableStyle count="3" pivot="0" name="Depositos no exterior-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I25"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Depositos UFSM por ano-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I25" displayName="Table_2" name="Table_2" id="2">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ncedidos por ano-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A1:C24" displayName="Table_3" name="Table_3" id="3">
  <tableColumns count="3">
    <tableColumn name="Depósitos por ano" id="1"/>
    <tableColumn name="PCT" id="2"/>
    <tableColumn name="Processos" id="3"/>
  </tableColumns>
  <tableStyleInfo name="PCT-style" showColumnStripes="0" showFirstColumn="1" showLastColumn="1" showRowStripes="1"/>
</table>
</file>

<file path=xl/tables/table4.xml><?xml version="1.0" encoding="utf-8"?>
<table xmlns="http://schemas.openxmlformats.org/spreadsheetml/2006/main" ref="A1:C27" displayName="Table_4" name="Table_4" id="4">
  <tableColumns count="3">
    <tableColumn name="Depósitos por ano" id="1"/>
    <tableColumn name="PI exterior" id="2"/>
    <tableColumn name="Processos" id="3"/>
  </tableColumns>
  <tableStyleInfo name="Depositos no exterio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29.38"/>
    <col customWidth="1" min="3" max="4" width="22.25"/>
    <col customWidth="1" min="5" max="5" width="17.5"/>
    <col customWidth="1" min="8" max="9" width="26.13"/>
  </cols>
  <sheetData>
    <row r="1" ht="15.75" customHeight="1">
      <c r="A1" s="1" t="s">
        <v>0</v>
      </c>
      <c r="B1" s="2" t="s">
        <v>1</v>
      </c>
      <c r="C1" s="3" t="s">
        <v>2</v>
      </c>
      <c r="D1" s="2" t="s">
        <v>3</v>
      </c>
      <c r="E1" s="4" t="s">
        <v>4</v>
      </c>
      <c r="F1" s="4" t="s">
        <v>5</v>
      </c>
      <c r="G1" s="4" t="s">
        <v>6</v>
      </c>
      <c r="H1" s="5" t="s">
        <v>7</v>
      </c>
      <c r="I1" s="6"/>
    </row>
    <row r="2" ht="15.75" customHeight="1">
      <c r="A2" s="7" t="s">
        <v>8</v>
      </c>
      <c r="B2" s="8">
        <v>2.0</v>
      </c>
      <c r="C2" s="9" t="s">
        <v>9</v>
      </c>
      <c r="D2" s="8">
        <v>0.0</v>
      </c>
      <c r="E2" s="8">
        <v>0.0</v>
      </c>
      <c r="F2" s="8">
        <v>6.0</v>
      </c>
      <c r="G2" s="8">
        <v>0.0</v>
      </c>
      <c r="H2" s="10">
        <f t="shared" ref="H2:H23" si="1">SUM(B2:G2)</f>
        <v>8</v>
      </c>
      <c r="I2" s="11"/>
    </row>
    <row r="3" ht="15.75" customHeight="1">
      <c r="A3" s="10">
        <v>2005.0</v>
      </c>
      <c r="B3" s="12">
        <v>2.0</v>
      </c>
      <c r="C3" s="9" t="s">
        <v>10</v>
      </c>
      <c r="D3" s="12">
        <v>0.0</v>
      </c>
      <c r="E3" s="12">
        <v>0.0</v>
      </c>
      <c r="F3" s="12">
        <v>0.0</v>
      </c>
      <c r="G3" s="12">
        <v>0.0</v>
      </c>
      <c r="H3" s="10">
        <f t="shared" si="1"/>
        <v>2</v>
      </c>
      <c r="I3" s="11"/>
    </row>
    <row r="4" ht="15.75" customHeight="1">
      <c r="A4" s="10">
        <v>2006.0</v>
      </c>
      <c r="B4" s="12">
        <v>2.0</v>
      </c>
      <c r="C4" s="13" t="s">
        <v>11</v>
      </c>
      <c r="D4" s="12">
        <v>1.0</v>
      </c>
      <c r="E4" s="12">
        <v>0.0</v>
      </c>
      <c r="F4" s="12">
        <v>0.0</v>
      </c>
      <c r="G4" s="12">
        <v>0.0</v>
      </c>
      <c r="H4" s="10">
        <f t="shared" si="1"/>
        <v>3</v>
      </c>
      <c r="I4" s="11"/>
    </row>
    <row r="5" ht="15.75" customHeight="1">
      <c r="A5" s="10">
        <v>2007.0</v>
      </c>
      <c r="B5" s="14">
        <v>2.0</v>
      </c>
      <c r="C5" s="15"/>
      <c r="D5" s="12">
        <v>1.0</v>
      </c>
      <c r="E5" s="12">
        <v>0.0</v>
      </c>
      <c r="F5" s="12">
        <v>0.0</v>
      </c>
      <c r="G5" s="12">
        <v>0.0</v>
      </c>
      <c r="H5" s="10">
        <f t="shared" si="1"/>
        <v>3</v>
      </c>
      <c r="I5" s="11"/>
    </row>
    <row r="6" ht="15.75" customHeight="1">
      <c r="A6" s="10">
        <v>2008.0</v>
      </c>
      <c r="B6" s="12">
        <v>2.0</v>
      </c>
      <c r="C6" s="15"/>
      <c r="D6" s="12">
        <v>2.0</v>
      </c>
      <c r="E6" s="12">
        <v>0.0</v>
      </c>
      <c r="F6" s="12">
        <v>0.0</v>
      </c>
      <c r="G6" s="12">
        <v>0.0</v>
      </c>
      <c r="H6" s="10">
        <f t="shared" si="1"/>
        <v>4</v>
      </c>
      <c r="I6" s="11"/>
    </row>
    <row r="7" ht="15.75" customHeight="1">
      <c r="A7" s="16">
        <v>2009.0</v>
      </c>
      <c r="B7" s="12">
        <v>6.0</v>
      </c>
      <c r="C7" s="15"/>
      <c r="D7" s="12">
        <v>0.0</v>
      </c>
      <c r="E7" s="12">
        <v>0.0</v>
      </c>
      <c r="F7" s="12">
        <v>3.0</v>
      </c>
      <c r="G7" s="12">
        <v>0.0</v>
      </c>
      <c r="H7" s="10">
        <f t="shared" si="1"/>
        <v>9</v>
      </c>
      <c r="I7" s="11"/>
    </row>
    <row r="8" ht="15.75" customHeight="1">
      <c r="A8" s="16">
        <v>2010.0</v>
      </c>
      <c r="B8" s="12">
        <v>4.0</v>
      </c>
      <c r="C8" s="15"/>
      <c r="D8" s="12">
        <v>1.0</v>
      </c>
      <c r="E8" s="12">
        <v>0.0</v>
      </c>
      <c r="F8" s="12">
        <v>1.0</v>
      </c>
      <c r="G8" s="12">
        <v>0.0</v>
      </c>
      <c r="H8" s="17">
        <f t="shared" si="1"/>
        <v>6</v>
      </c>
      <c r="I8" s="18"/>
    </row>
    <row r="9" ht="15.75" customHeight="1">
      <c r="A9" s="16">
        <v>2011.0</v>
      </c>
      <c r="B9" s="12">
        <v>14.0</v>
      </c>
      <c r="C9" s="15"/>
      <c r="D9" s="12">
        <v>1.0</v>
      </c>
      <c r="E9" s="12">
        <v>8.0</v>
      </c>
      <c r="F9" s="12">
        <v>0.0</v>
      </c>
      <c r="G9" s="12">
        <v>0.0</v>
      </c>
      <c r="H9" s="10">
        <f t="shared" si="1"/>
        <v>23</v>
      </c>
      <c r="I9" s="11"/>
    </row>
    <row r="10" ht="15.75" customHeight="1">
      <c r="A10" s="10">
        <v>2012.0</v>
      </c>
      <c r="B10" s="12">
        <v>13.0</v>
      </c>
      <c r="C10" s="15"/>
      <c r="D10" s="12">
        <v>1.0</v>
      </c>
      <c r="E10" s="12">
        <v>3.0</v>
      </c>
      <c r="F10" s="12">
        <v>0.0</v>
      </c>
      <c r="G10" s="12">
        <v>0.0</v>
      </c>
      <c r="H10" s="10">
        <f t="shared" si="1"/>
        <v>17</v>
      </c>
      <c r="I10" s="11"/>
    </row>
    <row r="11" ht="15.75" customHeight="1">
      <c r="A11" s="10">
        <v>2013.0</v>
      </c>
      <c r="B11" s="12">
        <v>25.0</v>
      </c>
      <c r="C11" s="15"/>
      <c r="D11" s="12">
        <v>8.0</v>
      </c>
      <c r="E11" s="12">
        <v>7.0</v>
      </c>
      <c r="F11" s="12">
        <v>1.0</v>
      </c>
      <c r="G11" s="12">
        <v>0.0</v>
      </c>
      <c r="H11" s="17">
        <f t="shared" si="1"/>
        <v>41</v>
      </c>
      <c r="I11" s="18"/>
    </row>
    <row r="12" ht="15.0" customHeight="1">
      <c r="A12" s="10">
        <v>2014.0</v>
      </c>
      <c r="B12" s="12">
        <v>14.0</v>
      </c>
      <c r="C12" s="15"/>
      <c r="D12" s="12">
        <v>22.0</v>
      </c>
      <c r="E12" s="12">
        <v>3.0</v>
      </c>
      <c r="F12" s="12">
        <v>5.0</v>
      </c>
      <c r="G12" s="12">
        <v>0.0</v>
      </c>
      <c r="H12" s="17">
        <f t="shared" si="1"/>
        <v>44</v>
      </c>
      <c r="I12" s="18"/>
    </row>
    <row r="13" ht="15.75" customHeight="1">
      <c r="A13" s="10">
        <v>2015.0</v>
      </c>
      <c r="B13" s="12">
        <v>34.0</v>
      </c>
      <c r="C13" s="15"/>
      <c r="D13" s="12">
        <v>22.0</v>
      </c>
      <c r="E13" s="12">
        <v>36.0</v>
      </c>
      <c r="F13" s="12">
        <v>3.0</v>
      </c>
      <c r="G13" s="12">
        <v>5.0</v>
      </c>
      <c r="H13" s="17">
        <f t="shared" si="1"/>
        <v>100</v>
      </c>
      <c r="I13" s="18"/>
    </row>
    <row r="14" ht="15.75" customHeight="1">
      <c r="A14" s="10">
        <v>2016.0</v>
      </c>
      <c r="B14" s="12">
        <v>15.0</v>
      </c>
      <c r="C14" s="15"/>
      <c r="D14" s="12">
        <v>18.0</v>
      </c>
      <c r="E14" s="12">
        <v>8.0</v>
      </c>
      <c r="F14" s="12">
        <v>1.0</v>
      </c>
      <c r="G14" s="12">
        <v>0.0</v>
      </c>
      <c r="H14" s="10">
        <f t="shared" si="1"/>
        <v>42</v>
      </c>
      <c r="I14" s="11"/>
    </row>
    <row r="15" ht="15.75" customHeight="1">
      <c r="A15" s="10">
        <v>2017.0</v>
      </c>
      <c r="B15" s="12">
        <v>18.0</v>
      </c>
      <c r="C15" s="15"/>
      <c r="D15" s="12">
        <v>9.0</v>
      </c>
      <c r="E15" s="12">
        <v>0.0</v>
      </c>
      <c r="F15" s="12">
        <v>1.0</v>
      </c>
      <c r="G15" s="12">
        <v>0.0</v>
      </c>
      <c r="H15" s="10">
        <f t="shared" si="1"/>
        <v>28</v>
      </c>
      <c r="I15" s="11"/>
    </row>
    <row r="16" ht="15.75" customHeight="1">
      <c r="A16" s="10">
        <v>2018.0</v>
      </c>
      <c r="B16" s="12">
        <v>15.0</v>
      </c>
      <c r="C16" s="15"/>
      <c r="D16" s="12">
        <v>11.0</v>
      </c>
      <c r="E16" s="12">
        <v>1.0</v>
      </c>
      <c r="F16" s="12">
        <v>1.0</v>
      </c>
      <c r="G16" s="12">
        <v>0.0</v>
      </c>
      <c r="H16" s="10">
        <f t="shared" si="1"/>
        <v>28</v>
      </c>
      <c r="I16" s="11"/>
    </row>
    <row r="17" ht="15.75" customHeight="1">
      <c r="A17" s="10">
        <v>2019.0</v>
      </c>
      <c r="B17" s="12">
        <v>18.0</v>
      </c>
      <c r="C17" s="15"/>
      <c r="D17" s="12">
        <v>9.0</v>
      </c>
      <c r="E17" s="12">
        <v>0.0</v>
      </c>
      <c r="F17" s="12">
        <v>0.0</v>
      </c>
      <c r="G17" s="12">
        <v>2.0</v>
      </c>
      <c r="H17" s="10">
        <f t="shared" si="1"/>
        <v>29</v>
      </c>
      <c r="I17" s="11"/>
    </row>
    <row r="18" ht="15.75" customHeight="1">
      <c r="A18" s="10">
        <v>2020.0</v>
      </c>
      <c r="B18" s="12">
        <v>16.0</v>
      </c>
      <c r="C18" s="15"/>
      <c r="D18" s="12">
        <v>15.0</v>
      </c>
      <c r="E18" s="12">
        <v>0.0</v>
      </c>
      <c r="F18" s="12">
        <v>1.0</v>
      </c>
      <c r="G18" s="12">
        <v>0.0</v>
      </c>
      <c r="H18" s="10">
        <f t="shared" si="1"/>
        <v>32</v>
      </c>
      <c r="I18" s="11"/>
    </row>
    <row r="19" ht="15.75" customHeight="1">
      <c r="A19" s="10">
        <v>2021.0</v>
      </c>
      <c r="B19" s="12">
        <v>16.0</v>
      </c>
      <c r="C19" s="15"/>
      <c r="D19" s="12">
        <v>7.0</v>
      </c>
      <c r="E19" s="12">
        <v>0.0</v>
      </c>
      <c r="F19" s="12">
        <v>3.0</v>
      </c>
      <c r="G19" s="12">
        <v>0.0</v>
      </c>
      <c r="H19" s="17">
        <f t="shared" si="1"/>
        <v>26</v>
      </c>
      <c r="I19" s="18"/>
    </row>
    <row r="20" ht="15.75" customHeight="1">
      <c r="A20" s="10">
        <v>2022.0</v>
      </c>
      <c r="B20" s="12">
        <v>20.0</v>
      </c>
      <c r="C20" s="15"/>
      <c r="D20" s="12">
        <v>13.0</v>
      </c>
      <c r="E20" s="12">
        <v>0.0</v>
      </c>
      <c r="F20" s="12">
        <v>2.0</v>
      </c>
      <c r="G20" s="12">
        <v>0.0</v>
      </c>
      <c r="H20" s="10">
        <f t="shared" si="1"/>
        <v>35</v>
      </c>
      <c r="I20" s="11"/>
    </row>
    <row r="21" ht="15.75" customHeight="1">
      <c r="A21" s="10">
        <v>2023.0</v>
      </c>
      <c r="B21" s="12">
        <v>8.0</v>
      </c>
      <c r="C21" s="15"/>
      <c r="D21" s="12">
        <v>31.0</v>
      </c>
      <c r="E21" s="12">
        <v>0.0</v>
      </c>
      <c r="F21" s="12">
        <v>1.0</v>
      </c>
      <c r="G21" s="12">
        <v>0.0</v>
      </c>
      <c r="H21" s="10">
        <f t="shared" si="1"/>
        <v>40</v>
      </c>
      <c r="I21" s="11"/>
    </row>
    <row r="22" ht="15.75" customHeight="1">
      <c r="A22" s="10">
        <v>2024.0</v>
      </c>
      <c r="B22" s="12">
        <v>20.0</v>
      </c>
      <c r="C22" s="15"/>
      <c r="D22" s="12">
        <v>24.0</v>
      </c>
      <c r="E22" s="12">
        <v>4.0</v>
      </c>
      <c r="F22" s="12">
        <v>2.0</v>
      </c>
      <c r="G22" s="12">
        <v>0.0</v>
      </c>
      <c r="H22" s="10">
        <f t="shared" si="1"/>
        <v>50</v>
      </c>
      <c r="I22" s="11"/>
    </row>
    <row r="23" ht="15.75" customHeight="1">
      <c r="A23" s="19">
        <v>2025.0</v>
      </c>
      <c r="B23" s="8">
        <v>16.0</v>
      </c>
      <c r="C23" s="15"/>
      <c r="D23" s="8">
        <v>29.0</v>
      </c>
      <c r="E23" s="8">
        <v>2.0</v>
      </c>
      <c r="F23" s="8">
        <v>1.0</v>
      </c>
      <c r="G23" s="8">
        <v>0.0</v>
      </c>
      <c r="H23" s="19">
        <f t="shared" si="1"/>
        <v>48</v>
      </c>
      <c r="I23" s="20"/>
    </row>
    <row r="24" ht="15.75" customHeight="1">
      <c r="A24" s="21">
        <v>2026.0</v>
      </c>
      <c r="B24" s="22">
        <v>8.0</v>
      </c>
      <c r="C24" s="23"/>
      <c r="D24" s="24">
        <v>8.0</v>
      </c>
      <c r="E24" s="24">
        <v>4.0</v>
      </c>
      <c r="F24" s="24">
        <v>1.0</v>
      </c>
      <c r="G24" s="24">
        <v>0.0</v>
      </c>
      <c r="H24" s="21">
        <v>21.0</v>
      </c>
      <c r="I24" s="11"/>
    </row>
    <row r="25" ht="15.75" customHeight="1">
      <c r="A25" s="21"/>
      <c r="B25" s="23"/>
      <c r="C25" s="23"/>
      <c r="D25" s="23"/>
      <c r="E25" s="23"/>
      <c r="F25" s="23"/>
      <c r="G25" s="23"/>
      <c r="H25" s="11"/>
      <c r="I25" s="11"/>
    </row>
    <row r="26" ht="15.75" customHeight="1">
      <c r="A26" s="25"/>
      <c r="B26" s="26">
        <v>290.0</v>
      </c>
      <c r="C26" s="25"/>
      <c r="D26" s="26">
        <f t="shared" ref="D26:F26" si="2">SUM(D2:D25)</f>
        <v>233</v>
      </c>
      <c r="E26" s="25">
        <f t="shared" si="2"/>
        <v>76</v>
      </c>
      <c r="F26" s="25">
        <f t="shared" si="2"/>
        <v>33</v>
      </c>
      <c r="G26" s="25">
        <v>7.0</v>
      </c>
      <c r="H26" s="27">
        <f>SUM(B26:G26)</f>
        <v>639</v>
      </c>
    </row>
    <row r="27" ht="15.75" customHeight="1"/>
    <row r="28" ht="15.75" customHeight="1">
      <c r="H28" s="28" t="s">
        <v>12</v>
      </c>
      <c r="I28" s="28"/>
    </row>
    <row r="29" ht="15.75" customHeight="1">
      <c r="A29" s="29"/>
      <c r="C29" s="30"/>
      <c r="H29" s="28" t="s">
        <v>13</v>
      </c>
      <c r="I29" s="28"/>
    </row>
    <row r="30" ht="15.75" customHeight="1">
      <c r="A30" s="30" t="s">
        <v>14</v>
      </c>
      <c r="C30" s="30"/>
      <c r="D30" s="30" t="s">
        <v>15</v>
      </c>
    </row>
    <row r="31" ht="15.75" customHeight="1">
      <c r="A31" s="30" t="s">
        <v>16</v>
      </c>
    </row>
    <row r="32" ht="15.75" customHeight="1"/>
    <row r="33" ht="15.75" customHeight="1">
      <c r="A33" s="31" t="s">
        <v>17</v>
      </c>
      <c r="B33" s="32"/>
    </row>
    <row r="34" ht="15.75" customHeight="1">
      <c r="A34" s="30" t="s">
        <v>18</v>
      </c>
    </row>
    <row r="35" ht="15.75" customHeight="1"/>
    <row r="36" ht="15.75" customHeight="1"/>
    <row r="37" ht="15.75" customHeight="1">
      <c r="A37" s="33" t="s">
        <v>19</v>
      </c>
      <c r="B37" s="34"/>
    </row>
    <row r="38" ht="15.75" customHeight="1">
      <c r="A38" s="30" t="s">
        <v>20</v>
      </c>
    </row>
    <row r="39" ht="15.75" customHeight="1"/>
    <row r="40" ht="15.75" customHeight="1"/>
    <row r="41" ht="15.75" customHeight="1"/>
    <row r="42" ht="15.75" customHeight="1">
      <c r="D42" s="35" t="s">
        <v>21</v>
      </c>
    </row>
    <row r="43" ht="15.75" customHeight="1">
      <c r="D43" s="35" t="s">
        <v>22</v>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29.38"/>
    <col customWidth="1" min="3" max="4" width="22.25"/>
    <col customWidth="1" min="5" max="5" width="17.5"/>
    <col customWidth="1" min="8" max="9" width="26.13"/>
  </cols>
  <sheetData>
    <row r="1" ht="15.75" customHeight="1">
      <c r="A1" s="36" t="s">
        <v>23</v>
      </c>
      <c r="B1" s="37" t="s">
        <v>24</v>
      </c>
      <c r="C1" s="37" t="s">
        <v>25</v>
      </c>
      <c r="D1" s="38" t="s">
        <v>3</v>
      </c>
      <c r="E1" s="39" t="s">
        <v>4</v>
      </c>
      <c r="F1" s="39" t="s">
        <v>5</v>
      </c>
      <c r="G1" s="39" t="s">
        <v>6</v>
      </c>
      <c r="H1" s="40" t="s">
        <v>26</v>
      </c>
      <c r="I1" s="41"/>
    </row>
    <row r="2" ht="15.75" customHeight="1">
      <c r="A2" s="7" t="s">
        <v>8</v>
      </c>
      <c r="B2" s="8">
        <v>0.0</v>
      </c>
      <c r="C2" s="8">
        <v>0.0</v>
      </c>
      <c r="D2" s="8">
        <v>0.0</v>
      </c>
      <c r="E2" s="8">
        <v>0.0</v>
      </c>
      <c r="F2" s="8">
        <v>2.0</v>
      </c>
      <c r="G2" s="8">
        <v>0.0</v>
      </c>
      <c r="H2" s="10">
        <f t="shared" ref="H2:H23" si="1">SUM(B2:G2)</f>
        <v>2</v>
      </c>
      <c r="I2" s="11"/>
    </row>
    <row r="3" ht="15.75" customHeight="1">
      <c r="A3" s="10">
        <v>2005.0</v>
      </c>
      <c r="B3" s="8">
        <v>0.0</v>
      </c>
      <c r="C3" s="8">
        <v>0.0</v>
      </c>
      <c r="D3" s="8">
        <v>0.0</v>
      </c>
      <c r="E3" s="8">
        <v>0.0</v>
      </c>
      <c r="F3" s="8">
        <v>1.0</v>
      </c>
      <c r="G3" s="8">
        <v>0.0</v>
      </c>
      <c r="H3" s="10">
        <f t="shared" si="1"/>
        <v>1</v>
      </c>
      <c r="I3" s="11"/>
    </row>
    <row r="4" ht="15.75" customHeight="1">
      <c r="A4" s="10">
        <v>2006.0</v>
      </c>
      <c r="B4" s="8">
        <v>0.0</v>
      </c>
      <c r="C4" s="8">
        <v>0.0</v>
      </c>
      <c r="D4" s="8">
        <v>0.0</v>
      </c>
      <c r="E4" s="8">
        <v>0.0</v>
      </c>
      <c r="F4" s="8">
        <v>0.0</v>
      </c>
      <c r="G4" s="8">
        <v>0.0</v>
      </c>
      <c r="H4" s="10">
        <f t="shared" si="1"/>
        <v>0</v>
      </c>
      <c r="I4" s="11"/>
    </row>
    <row r="5" ht="15.75" customHeight="1">
      <c r="A5" s="10">
        <v>2007.0</v>
      </c>
      <c r="B5" s="8">
        <v>0.0</v>
      </c>
      <c r="C5" s="8">
        <v>0.0</v>
      </c>
      <c r="D5" s="8">
        <v>0.0</v>
      </c>
      <c r="E5" s="8">
        <v>0.0</v>
      </c>
      <c r="F5" s="8">
        <v>1.0</v>
      </c>
      <c r="G5" s="8">
        <v>0.0</v>
      </c>
      <c r="H5" s="10">
        <f t="shared" si="1"/>
        <v>1</v>
      </c>
      <c r="I5" s="11"/>
    </row>
    <row r="6" ht="15.75" customHeight="1">
      <c r="A6" s="10">
        <v>2008.0</v>
      </c>
      <c r="B6" s="8">
        <v>0.0</v>
      </c>
      <c r="C6" s="8">
        <v>0.0</v>
      </c>
      <c r="D6" s="8">
        <v>0.0</v>
      </c>
      <c r="E6" s="8">
        <v>0.0</v>
      </c>
      <c r="F6" s="8">
        <v>0.0</v>
      </c>
      <c r="G6" s="8">
        <v>0.0</v>
      </c>
      <c r="H6" s="10">
        <f t="shared" si="1"/>
        <v>0</v>
      </c>
      <c r="I6" s="11"/>
    </row>
    <row r="7" ht="15.75" customHeight="1">
      <c r="A7" s="16">
        <v>2009.0</v>
      </c>
      <c r="B7" s="8">
        <v>1.0</v>
      </c>
      <c r="C7" s="8">
        <v>0.0</v>
      </c>
      <c r="D7" s="8">
        <v>0.0</v>
      </c>
      <c r="E7" s="8">
        <v>0.0</v>
      </c>
      <c r="F7" s="8">
        <v>1.0</v>
      </c>
      <c r="G7" s="8">
        <v>0.0</v>
      </c>
      <c r="H7" s="10">
        <f t="shared" si="1"/>
        <v>2</v>
      </c>
      <c r="I7" s="11"/>
    </row>
    <row r="8" ht="15.75" customHeight="1">
      <c r="A8" s="16">
        <v>2010.0</v>
      </c>
      <c r="B8" s="8">
        <v>0.0</v>
      </c>
      <c r="C8" s="8">
        <v>0.0</v>
      </c>
      <c r="D8" s="8">
        <v>0.0</v>
      </c>
      <c r="E8" s="8">
        <v>0.0</v>
      </c>
      <c r="F8" s="8">
        <v>0.0</v>
      </c>
      <c r="G8" s="8">
        <v>0.0</v>
      </c>
      <c r="H8" s="17">
        <f t="shared" si="1"/>
        <v>0</v>
      </c>
      <c r="I8" s="18"/>
    </row>
    <row r="9" ht="15.75" customHeight="1">
      <c r="A9" s="16">
        <v>2011.0</v>
      </c>
      <c r="B9" s="8">
        <v>0.0</v>
      </c>
      <c r="C9" s="8">
        <v>0.0</v>
      </c>
      <c r="D9" s="8">
        <v>0.0</v>
      </c>
      <c r="E9" s="8">
        <v>0.0</v>
      </c>
      <c r="F9" s="8">
        <v>0.0</v>
      </c>
      <c r="G9" s="8">
        <v>0.0</v>
      </c>
      <c r="H9" s="10">
        <f t="shared" si="1"/>
        <v>0</v>
      </c>
      <c r="I9" s="11"/>
    </row>
    <row r="10" ht="15.75" customHeight="1">
      <c r="A10" s="10">
        <v>2012.0</v>
      </c>
      <c r="B10" s="8">
        <v>0.0</v>
      </c>
      <c r="C10" s="8">
        <v>0.0</v>
      </c>
      <c r="D10" s="8">
        <v>0.0</v>
      </c>
      <c r="E10" s="8">
        <v>2.0</v>
      </c>
      <c r="F10" s="8">
        <v>2.0</v>
      </c>
      <c r="G10" s="8">
        <v>0.0</v>
      </c>
      <c r="H10" s="10">
        <f t="shared" si="1"/>
        <v>4</v>
      </c>
      <c r="I10" s="11"/>
    </row>
    <row r="11" ht="15.75" customHeight="1">
      <c r="A11" s="10">
        <v>2013.0</v>
      </c>
      <c r="B11" s="8">
        <v>0.0</v>
      </c>
      <c r="C11" s="8">
        <v>0.0</v>
      </c>
      <c r="D11" s="8">
        <v>2.0</v>
      </c>
      <c r="E11" s="8">
        <v>1.0</v>
      </c>
      <c r="F11" s="8">
        <v>1.0</v>
      </c>
      <c r="G11" s="8">
        <v>0.0</v>
      </c>
      <c r="H11" s="17">
        <f t="shared" si="1"/>
        <v>4</v>
      </c>
      <c r="I11" s="18"/>
    </row>
    <row r="12" ht="15.0" customHeight="1">
      <c r="A12" s="10">
        <v>2014.0</v>
      </c>
      <c r="B12" s="8">
        <v>0.0</v>
      </c>
      <c r="C12" s="8">
        <v>0.0</v>
      </c>
      <c r="D12" s="8">
        <v>6.0</v>
      </c>
      <c r="E12" s="8">
        <v>1.0</v>
      </c>
      <c r="F12" s="8">
        <v>1.0</v>
      </c>
      <c r="G12" s="8">
        <v>0.0</v>
      </c>
      <c r="H12" s="17">
        <f t="shared" si="1"/>
        <v>8</v>
      </c>
      <c r="I12" s="18"/>
    </row>
    <row r="13" ht="15.75" customHeight="1">
      <c r="A13" s="10">
        <v>2015.0</v>
      </c>
      <c r="B13" s="8">
        <v>0.0</v>
      </c>
      <c r="C13" s="8">
        <v>0.0</v>
      </c>
      <c r="D13" s="8">
        <v>22.0</v>
      </c>
      <c r="E13" s="8">
        <v>1.0</v>
      </c>
      <c r="F13" s="8">
        <v>0.0</v>
      </c>
      <c r="G13" s="8">
        <v>0.0</v>
      </c>
      <c r="H13" s="17">
        <f t="shared" si="1"/>
        <v>23</v>
      </c>
      <c r="I13" s="18"/>
    </row>
    <row r="14" ht="15.75" customHeight="1">
      <c r="A14" s="10">
        <v>2016.0</v>
      </c>
      <c r="B14" s="8">
        <v>0.0</v>
      </c>
      <c r="C14" s="8">
        <v>0.0</v>
      </c>
      <c r="D14" s="8">
        <v>31.0</v>
      </c>
      <c r="E14" s="8">
        <v>18.0</v>
      </c>
      <c r="F14" s="8">
        <v>5.0</v>
      </c>
      <c r="G14" s="8">
        <v>5.0</v>
      </c>
      <c r="H14" s="10">
        <f t="shared" si="1"/>
        <v>59</v>
      </c>
      <c r="I14" s="11"/>
    </row>
    <row r="15" ht="15.75" customHeight="1">
      <c r="A15" s="10">
        <v>2017.0</v>
      </c>
      <c r="B15" s="8">
        <v>3.0</v>
      </c>
      <c r="C15" s="8">
        <v>0.0</v>
      </c>
      <c r="D15" s="8">
        <v>19.0</v>
      </c>
      <c r="E15" s="8">
        <v>22.0</v>
      </c>
      <c r="F15" s="8">
        <v>2.0</v>
      </c>
      <c r="G15" s="8">
        <v>0.0</v>
      </c>
      <c r="H15" s="10">
        <f t="shared" si="1"/>
        <v>46</v>
      </c>
      <c r="I15" s="11"/>
    </row>
    <row r="16" ht="15.75" customHeight="1">
      <c r="A16" s="10">
        <v>2018.0</v>
      </c>
      <c r="B16" s="8">
        <v>4.0</v>
      </c>
      <c r="C16" s="8">
        <v>2.0</v>
      </c>
      <c r="D16" s="8">
        <v>15.0</v>
      </c>
      <c r="E16" s="8">
        <v>8.0</v>
      </c>
      <c r="F16" s="8">
        <v>2.0</v>
      </c>
      <c r="G16" s="8">
        <v>0.0</v>
      </c>
      <c r="H16" s="10">
        <f t="shared" si="1"/>
        <v>31</v>
      </c>
      <c r="I16" s="11"/>
    </row>
    <row r="17" ht="15.75" customHeight="1">
      <c r="A17" s="10">
        <v>2019.0</v>
      </c>
      <c r="B17" s="8">
        <v>4.0</v>
      </c>
      <c r="C17" s="8">
        <v>2.0</v>
      </c>
      <c r="D17" s="8">
        <v>9.0</v>
      </c>
      <c r="E17" s="8">
        <v>1.0</v>
      </c>
      <c r="F17" s="8">
        <v>2.0</v>
      </c>
      <c r="G17" s="8">
        <v>0.0</v>
      </c>
      <c r="H17" s="10">
        <f t="shared" si="1"/>
        <v>18</v>
      </c>
      <c r="I17" s="11"/>
    </row>
    <row r="18" ht="15.75" customHeight="1">
      <c r="A18" s="10">
        <v>2020.0</v>
      </c>
      <c r="B18" s="8">
        <v>6.0</v>
      </c>
      <c r="C18" s="8">
        <v>1.0</v>
      </c>
      <c r="D18" s="8">
        <v>15.0</v>
      </c>
      <c r="E18" s="8">
        <v>0.0</v>
      </c>
      <c r="F18" s="8">
        <v>1.0</v>
      </c>
      <c r="G18" s="8">
        <v>0.0</v>
      </c>
      <c r="H18" s="10">
        <f t="shared" si="1"/>
        <v>23</v>
      </c>
      <c r="I18" s="11"/>
    </row>
    <row r="19" ht="15.75" customHeight="1">
      <c r="A19" s="10">
        <v>2021.0</v>
      </c>
      <c r="B19" s="8">
        <v>20.0</v>
      </c>
      <c r="C19" s="8">
        <v>1.0</v>
      </c>
      <c r="D19" s="8">
        <v>7.0</v>
      </c>
      <c r="E19" s="8">
        <v>0.0</v>
      </c>
      <c r="F19" s="8">
        <v>0.0</v>
      </c>
      <c r="G19" s="8">
        <v>2.0</v>
      </c>
      <c r="H19" s="17">
        <f t="shared" si="1"/>
        <v>30</v>
      </c>
      <c r="I19" s="18"/>
    </row>
    <row r="20" ht="15.75" customHeight="1">
      <c r="A20" s="10">
        <v>2022.0</v>
      </c>
      <c r="B20" s="8">
        <v>18.0</v>
      </c>
      <c r="C20" s="8">
        <v>0.0</v>
      </c>
      <c r="D20" s="8">
        <v>13.0</v>
      </c>
      <c r="E20" s="8">
        <v>0.0</v>
      </c>
      <c r="F20" s="8">
        <v>3.0</v>
      </c>
      <c r="G20" s="8">
        <v>0.0</v>
      </c>
      <c r="H20" s="10">
        <f t="shared" si="1"/>
        <v>34</v>
      </c>
      <c r="I20" s="11"/>
    </row>
    <row r="21" ht="15.75" customHeight="1">
      <c r="A21" s="10">
        <v>2023.0</v>
      </c>
      <c r="B21" s="8">
        <v>17.0</v>
      </c>
      <c r="C21" s="8">
        <v>1.0</v>
      </c>
      <c r="D21" s="8">
        <v>31.0</v>
      </c>
      <c r="E21" s="8">
        <v>0.0</v>
      </c>
      <c r="F21" s="8">
        <v>2.0</v>
      </c>
      <c r="G21" s="8">
        <v>0.0</v>
      </c>
      <c r="H21" s="10">
        <f t="shared" si="1"/>
        <v>51</v>
      </c>
      <c r="I21" s="11"/>
    </row>
    <row r="22" ht="15.75" customHeight="1">
      <c r="A22" s="10">
        <v>2024.0</v>
      </c>
      <c r="B22" s="8">
        <v>8.0</v>
      </c>
      <c r="C22" s="8">
        <v>0.0</v>
      </c>
      <c r="D22" s="8">
        <v>24.0</v>
      </c>
      <c r="E22" s="8">
        <v>0.0</v>
      </c>
      <c r="F22" s="8">
        <v>0.0</v>
      </c>
      <c r="G22" s="8">
        <v>0.0</v>
      </c>
      <c r="H22" s="10">
        <f t="shared" si="1"/>
        <v>32</v>
      </c>
      <c r="I22" s="11"/>
    </row>
    <row r="23" ht="15.75" customHeight="1">
      <c r="A23" s="19">
        <v>2025.0</v>
      </c>
      <c r="B23" s="8">
        <v>12.0</v>
      </c>
      <c r="C23" s="8">
        <v>1.0</v>
      </c>
      <c r="D23" s="8">
        <v>29.0</v>
      </c>
      <c r="E23" s="8">
        <v>3.0</v>
      </c>
      <c r="F23" s="8">
        <v>1.0</v>
      </c>
      <c r="G23" s="8">
        <v>0.0</v>
      </c>
      <c r="H23" s="42">
        <f t="shared" si="1"/>
        <v>46</v>
      </c>
      <c r="I23" s="20"/>
    </row>
    <row r="24" ht="15.75" customHeight="1">
      <c r="A24" s="21">
        <v>2026.0</v>
      </c>
      <c r="B24" s="24">
        <v>5.0</v>
      </c>
      <c r="C24" s="24">
        <v>0.0</v>
      </c>
      <c r="D24" s="24">
        <v>8.0</v>
      </c>
      <c r="E24" s="24">
        <v>1.0</v>
      </c>
      <c r="F24" s="24">
        <v>1.0</v>
      </c>
      <c r="G24" s="24">
        <v>0.0</v>
      </c>
      <c r="H24" s="21">
        <v>15.0</v>
      </c>
      <c r="I24" s="11"/>
    </row>
    <row r="25" ht="15.75" customHeight="1">
      <c r="A25" s="11"/>
      <c r="B25" s="23"/>
      <c r="C25" s="23"/>
      <c r="D25" s="23"/>
      <c r="E25" s="23"/>
      <c r="F25" s="23"/>
      <c r="G25" s="23"/>
      <c r="H25" s="11"/>
      <c r="I25" s="11"/>
    </row>
    <row r="26" ht="15.75" customHeight="1">
      <c r="A26" s="25"/>
      <c r="B26" s="26">
        <f t="shared" ref="B26:G26" si="2">SUM(B2:B25)</f>
        <v>98</v>
      </c>
      <c r="C26" s="25">
        <f t="shared" si="2"/>
        <v>8</v>
      </c>
      <c r="D26" s="25">
        <f t="shared" si="2"/>
        <v>231</v>
      </c>
      <c r="E26" s="25">
        <f t="shared" si="2"/>
        <v>58</v>
      </c>
      <c r="F26" s="25">
        <f t="shared" si="2"/>
        <v>28</v>
      </c>
      <c r="G26" s="25">
        <f t="shared" si="2"/>
        <v>7</v>
      </c>
      <c r="H26" s="27">
        <f>SUM(B26:G26)</f>
        <v>430</v>
      </c>
    </row>
    <row r="27" ht="15.75" customHeight="1"/>
    <row r="28" ht="15.75" customHeight="1">
      <c r="B28" s="43"/>
      <c r="H28" s="29"/>
      <c r="I28" s="29"/>
    </row>
    <row r="29" ht="15.75" customHeight="1">
      <c r="A29" s="44" t="s">
        <v>27</v>
      </c>
      <c r="H29" s="29"/>
      <c r="I29" s="29"/>
    </row>
    <row r="30" ht="15.75" customHeight="1">
      <c r="A30" s="30" t="s">
        <v>16</v>
      </c>
      <c r="D30" s="30" t="s">
        <v>28</v>
      </c>
    </row>
    <row r="31" ht="15.75" customHeight="1"/>
    <row r="32" ht="15.75" customHeight="1"/>
    <row r="33" ht="15.75" customHeight="1"/>
    <row r="34" ht="15.75" customHeight="1"/>
    <row r="35" ht="15.75" customHeight="1">
      <c r="B35" s="33" t="s">
        <v>29</v>
      </c>
      <c r="C35" s="33" t="s">
        <v>30</v>
      </c>
    </row>
    <row r="36" ht="15.75" customHeight="1">
      <c r="A36" s="30" t="s">
        <v>31</v>
      </c>
      <c r="B36" s="30" t="s">
        <v>32</v>
      </c>
      <c r="C36" s="45" t="s">
        <v>33</v>
      </c>
    </row>
    <row r="37" ht="15.75" customHeight="1">
      <c r="A37" s="30" t="s">
        <v>34</v>
      </c>
      <c r="B37" s="30" t="s">
        <v>35</v>
      </c>
      <c r="C37" s="30" t="s">
        <v>36</v>
      </c>
    </row>
    <row r="38" ht="15.75" customHeight="1">
      <c r="A38" s="30" t="s">
        <v>37</v>
      </c>
      <c r="B38" s="30" t="s">
        <v>38</v>
      </c>
      <c r="C38" s="30" t="s">
        <v>39</v>
      </c>
    </row>
    <row r="39" ht="15.75" customHeight="1">
      <c r="A39" s="30" t="s">
        <v>40</v>
      </c>
      <c r="B39" s="30" t="s">
        <v>41</v>
      </c>
      <c r="C39" s="46">
        <v>405.0</v>
      </c>
    </row>
    <row r="40" ht="15.75" customHeight="1">
      <c r="A40" s="30" t="s">
        <v>42</v>
      </c>
      <c r="B40" s="30" t="s">
        <v>43</v>
      </c>
      <c r="C40" s="46">
        <v>405.0</v>
      </c>
    </row>
    <row r="41" ht="15.75" customHeight="1">
      <c r="A41" s="47" t="s">
        <v>44</v>
      </c>
      <c r="B41" s="47" t="s">
        <v>45</v>
      </c>
      <c r="C41" s="47" t="s">
        <v>33</v>
      </c>
    </row>
    <row r="42" ht="15.75" customHeight="1">
      <c r="A42" s="30" t="s">
        <v>46</v>
      </c>
      <c r="B42" s="46">
        <v>17.0</v>
      </c>
      <c r="C42" s="46">
        <v>350.0</v>
      </c>
    </row>
    <row r="43" ht="15.75" customHeight="1">
      <c r="A43" s="47" t="s">
        <v>47</v>
      </c>
      <c r="B43" s="47" t="s">
        <v>48</v>
      </c>
      <c r="C43" s="47" t="s">
        <v>33</v>
      </c>
    </row>
    <row r="44" ht="15.75" customHeight="1">
      <c r="A44" s="30" t="s">
        <v>49</v>
      </c>
      <c r="B44" s="46" t="s">
        <v>50</v>
      </c>
      <c r="C44" s="46">
        <v>511.0</v>
      </c>
    </row>
    <row r="45" ht="15.75" customHeight="1">
      <c r="B45" s="48"/>
      <c r="C45" s="48"/>
    </row>
    <row r="46" ht="15.75" customHeight="1">
      <c r="B46" s="48"/>
      <c r="C46" s="48"/>
    </row>
    <row r="47" ht="15.75" customHeight="1">
      <c r="B47" s="48"/>
      <c r="C47" s="48"/>
    </row>
    <row r="48" ht="15.75" customHeight="1">
      <c r="B48" s="48"/>
      <c r="C48" s="48"/>
    </row>
    <row r="49" ht="15.75" customHeight="1">
      <c r="B49" s="48"/>
      <c r="C49" s="48"/>
    </row>
    <row r="50" ht="15.75" customHeight="1">
      <c r="B50" s="48"/>
      <c r="C50" s="48"/>
    </row>
    <row r="51" ht="15.75" customHeight="1">
      <c r="B51" s="48"/>
      <c r="C51" s="48"/>
    </row>
    <row r="52" ht="15.75" customHeight="1">
      <c r="B52" s="48"/>
      <c r="C52" s="48"/>
    </row>
    <row r="53" ht="15.75" customHeight="1">
      <c r="B53" s="48"/>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22.25"/>
    <col customWidth="1" min="3" max="3" width="26.13"/>
  </cols>
  <sheetData>
    <row r="1" ht="15.75" customHeight="1">
      <c r="A1" s="1" t="s">
        <v>0</v>
      </c>
      <c r="B1" s="2" t="s">
        <v>51</v>
      </c>
      <c r="C1" s="49" t="s">
        <v>52</v>
      </c>
    </row>
    <row r="2" ht="15.75" customHeight="1">
      <c r="A2" s="7" t="s">
        <v>8</v>
      </c>
      <c r="B2" s="50">
        <v>0.0</v>
      </c>
      <c r="C2" s="10"/>
    </row>
    <row r="3" ht="15.75" customHeight="1">
      <c r="A3" s="10">
        <v>2005.0</v>
      </c>
      <c r="B3" s="50">
        <v>0.0</v>
      </c>
      <c r="C3" s="10"/>
    </row>
    <row r="4" ht="15.75" customHeight="1">
      <c r="A4" s="10">
        <v>2006.0</v>
      </c>
      <c r="B4" s="50">
        <v>0.0</v>
      </c>
      <c r="C4" s="10"/>
    </row>
    <row r="5" ht="15.75" customHeight="1">
      <c r="A5" s="10">
        <v>2007.0</v>
      </c>
      <c r="B5" s="50">
        <v>0.0</v>
      </c>
      <c r="C5" s="10"/>
    </row>
    <row r="6" ht="15.75" customHeight="1">
      <c r="A6" s="10">
        <v>2008.0</v>
      </c>
      <c r="B6" s="50">
        <v>0.0</v>
      </c>
      <c r="C6" s="10"/>
    </row>
    <row r="7" ht="15.75" customHeight="1">
      <c r="A7" s="16">
        <v>2009.0</v>
      </c>
      <c r="B7" s="50">
        <v>0.0</v>
      </c>
      <c r="C7" s="10"/>
    </row>
    <row r="8" ht="15.75" customHeight="1">
      <c r="A8" s="16">
        <v>2010.0</v>
      </c>
      <c r="B8" s="50">
        <v>0.0</v>
      </c>
      <c r="C8" s="17"/>
    </row>
    <row r="9" ht="15.75" customHeight="1">
      <c r="A9" s="16">
        <v>2011.0</v>
      </c>
      <c r="B9" s="50">
        <v>0.0</v>
      </c>
      <c r="C9" s="10"/>
    </row>
    <row r="10" ht="15.75" customHeight="1">
      <c r="A10" s="10">
        <v>2012.0</v>
      </c>
      <c r="B10" s="51">
        <v>1.0</v>
      </c>
      <c r="C10" s="52">
        <v>152.0</v>
      </c>
    </row>
    <row r="11" ht="15.75" customHeight="1">
      <c r="A11" s="10">
        <v>2013.0</v>
      </c>
      <c r="B11" s="51">
        <v>6.0</v>
      </c>
      <c r="C11" s="53" t="s">
        <v>53</v>
      </c>
    </row>
    <row r="12" ht="15.0" customHeight="1">
      <c r="A12" s="10">
        <v>2014.0</v>
      </c>
      <c r="B12" s="51">
        <v>2.0</v>
      </c>
      <c r="C12" s="52" t="s">
        <v>54</v>
      </c>
    </row>
    <row r="13" ht="15.75" customHeight="1">
      <c r="A13" s="10">
        <v>2015.0</v>
      </c>
      <c r="B13" s="51">
        <v>2.0</v>
      </c>
      <c r="C13" s="53" t="s">
        <v>55</v>
      </c>
    </row>
    <row r="14" ht="15.75" customHeight="1">
      <c r="A14" s="10">
        <v>2016.0</v>
      </c>
      <c r="B14" s="51">
        <v>0.0</v>
      </c>
      <c r="C14" s="52"/>
    </row>
    <row r="15" ht="15.75" customHeight="1">
      <c r="A15" s="10">
        <v>2017.0</v>
      </c>
      <c r="B15" s="51">
        <v>1.0</v>
      </c>
      <c r="C15" s="53">
        <v>405.0</v>
      </c>
    </row>
    <row r="16" ht="15.75" customHeight="1">
      <c r="A16" s="10">
        <v>2018.0</v>
      </c>
      <c r="B16" s="51">
        <v>0.0</v>
      </c>
      <c r="C16" s="52"/>
    </row>
    <row r="17" ht="15.75" customHeight="1">
      <c r="A17" s="10">
        <v>2019.0</v>
      </c>
      <c r="B17" s="51">
        <v>0.0</v>
      </c>
      <c r="C17" s="53"/>
    </row>
    <row r="18" ht="15.75" customHeight="1">
      <c r="A18" s="10">
        <v>2020.0</v>
      </c>
      <c r="B18" s="51">
        <v>1.0</v>
      </c>
      <c r="C18" s="52">
        <v>511.0</v>
      </c>
    </row>
    <row r="19" ht="15.75" customHeight="1">
      <c r="A19" s="10">
        <v>2021.0</v>
      </c>
      <c r="B19" s="51">
        <v>0.0</v>
      </c>
      <c r="C19" s="53"/>
    </row>
    <row r="20" ht="15.75" customHeight="1">
      <c r="A20" s="10">
        <v>2022.0</v>
      </c>
      <c r="B20" s="51">
        <v>0.0</v>
      </c>
      <c r="C20" s="52"/>
    </row>
    <row r="21" ht="15.75" customHeight="1">
      <c r="A21" s="10">
        <v>2023.0</v>
      </c>
      <c r="B21" s="51">
        <v>0.0</v>
      </c>
      <c r="C21" s="53"/>
    </row>
    <row r="22" ht="15.75" customHeight="1">
      <c r="A22" s="10">
        <v>2024.0</v>
      </c>
      <c r="B22" s="51">
        <v>1.0</v>
      </c>
      <c r="C22" s="52">
        <v>1208.0</v>
      </c>
    </row>
    <row r="23" ht="15.75" customHeight="1">
      <c r="A23" s="7">
        <v>2025.0</v>
      </c>
      <c r="B23" s="54">
        <v>1.0</v>
      </c>
      <c r="C23" s="55">
        <v>1185.0</v>
      </c>
    </row>
    <row r="24" ht="15.75" customHeight="1">
      <c r="A24" s="11"/>
      <c r="B24" s="23"/>
      <c r="C24" s="11"/>
    </row>
    <row r="25" ht="15.75" customHeight="1">
      <c r="A25" s="56"/>
      <c r="B25" s="57">
        <v>15.0</v>
      </c>
      <c r="C25" s="56"/>
    </row>
    <row r="26" ht="15.75" customHeight="1"/>
    <row r="27" ht="15.75" customHeight="1">
      <c r="A27" s="30" t="s">
        <v>56</v>
      </c>
      <c r="C27" s="29"/>
    </row>
    <row r="28" ht="15.75" customHeight="1">
      <c r="A28" s="29"/>
      <c r="C28" s="29"/>
    </row>
    <row r="29" ht="15.75" customHeight="1">
      <c r="A29" s="30" t="s">
        <v>57</v>
      </c>
    </row>
    <row r="30" ht="15.75" customHeight="1"/>
    <row r="31" ht="15.75" customHeight="1"/>
    <row r="32" ht="15.75" customHeight="1"/>
    <row r="33" ht="15.75" customHeight="1"/>
    <row r="34" ht="168.75" customHeight="1">
      <c r="A34" s="58" t="s">
        <v>58</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34:C34"/>
  </mergeCells>
  <printOptions gridLines="1" horizontalCentered="1"/>
  <pageMargins bottom="0.75" footer="0.0" header="0.0" left="0.7" right="0.7" top="0.75"/>
  <pageSetup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5"/>
    <col customWidth="1" min="2" max="2" width="22.25"/>
    <col customWidth="1" min="3" max="3" width="58.0"/>
  </cols>
  <sheetData>
    <row r="1" ht="15.75" customHeight="1">
      <c r="A1" s="1" t="s">
        <v>0</v>
      </c>
      <c r="B1" s="59" t="s">
        <v>25</v>
      </c>
      <c r="C1" s="49" t="s">
        <v>52</v>
      </c>
    </row>
    <row r="2" ht="15.75" customHeight="1">
      <c r="A2" s="7" t="s">
        <v>8</v>
      </c>
      <c r="B2" s="50">
        <v>0.0</v>
      </c>
      <c r="C2" s="10"/>
    </row>
    <row r="3" ht="15.75" customHeight="1">
      <c r="A3" s="10">
        <v>2005.0</v>
      </c>
      <c r="B3" s="50">
        <v>0.0</v>
      </c>
      <c r="C3" s="10"/>
    </row>
    <row r="4" ht="15.75" customHeight="1">
      <c r="A4" s="10">
        <v>2006.0</v>
      </c>
      <c r="B4" s="50">
        <v>0.0</v>
      </c>
      <c r="C4" s="10"/>
    </row>
    <row r="5" ht="15.75" customHeight="1">
      <c r="A5" s="10">
        <v>2007.0</v>
      </c>
      <c r="B5" s="50">
        <v>0.0</v>
      </c>
      <c r="C5" s="10"/>
    </row>
    <row r="6" ht="15.75" customHeight="1">
      <c r="A6" s="10">
        <v>2008.0</v>
      </c>
      <c r="B6" s="50">
        <v>0.0</v>
      </c>
      <c r="C6" s="10"/>
    </row>
    <row r="7" ht="15.75" customHeight="1">
      <c r="A7" s="16">
        <v>2009.0</v>
      </c>
      <c r="B7" s="50">
        <v>0.0</v>
      </c>
      <c r="C7" s="10"/>
    </row>
    <row r="8" ht="15.75" customHeight="1">
      <c r="A8" s="16">
        <v>2010.0</v>
      </c>
      <c r="B8" s="50">
        <v>0.0</v>
      </c>
      <c r="C8" s="17"/>
    </row>
    <row r="9" ht="15.75" customHeight="1">
      <c r="A9" s="16">
        <v>2011.0</v>
      </c>
      <c r="B9" s="50">
        <v>0.0</v>
      </c>
      <c r="C9" s="10"/>
    </row>
    <row r="10" ht="15.75" customHeight="1">
      <c r="A10" s="10">
        <v>2012.0</v>
      </c>
      <c r="B10" s="50">
        <v>0.0</v>
      </c>
      <c r="C10" s="52"/>
    </row>
    <row r="11" ht="15.75" customHeight="1">
      <c r="A11" s="10">
        <v>2013.0</v>
      </c>
      <c r="B11" s="60">
        <v>8.0</v>
      </c>
      <c r="C11" s="61" t="s">
        <v>59</v>
      </c>
    </row>
    <row r="12" ht="15.0" customHeight="1">
      <c r="A12" s="10">
        <v>2014.0</v>
      </c>
      <c r="B12" s="60">
        <v>1.0</v>
      </c>
      <c r="C12" s="62" t="s">
        <v>60</v>
      </c>
    </row>
    <row r="13" ht="15.75" customHeight="1">
      <c r="A13" s="10">
        <v>2015.0</v>
      </c>
      <c r="B13" s="60">
        <v>2.0</v>
      </c>
      <c r="C13" s="61" t="s">
        <v>61</v>
      </c>
    </row>
    <row r="14" ht="15.75" customHeight="1">
      <c r="A14" s="10">
        <v>2016.0</v>
      </c>
      <c r="B14" s="60">
        <v>1.0</v>
      </c>
      <c r="C14" s="62" t="s">
        <v>62</v>
      </c>
    </row>
    <row r="15" ht="15.75" customHeight="1">
      <c r="A15" s="10">
        <v>2017.0</v>
      </c>
      <c r="B15" s="60">
        <v>2.0</v>
      </c>
      <c r="C15" s="61" t="s">
        <v>63</v>
      </c>
    </row>
    <row r="16" ht="15.75" customHeight="1">
      <c r="A16" s="10">
        <v>2018.0</v>
      </c>
      <c r="B16" s="60">
        <v>1.0</v>
      </c>
      <c r="C16" s="62" t="s">
        <v>64</v>
      </c>
    </row>
    <row r="17" ht="15.75" customHeight="1">
      <c r="A17" s="10">
        <v>2019.0</v>
      </c>
      <c r="B17" s="60">
        <v>0.0</v>
      </c>
      <c r="C17" s="53"/>
    </row>
    <row r="18" ht="15.75" customHeight="1">
      <c r="A18" s="10">
        <v>2020.0</v>
      </c>
      <c r="B18" s="60">
        <v>2.0</v>
      </c>
      <c r="C18" s="62" t="s">
        <v>65</v>
      </c>
    </row>
    <row r="19" ht="15.75" customHeight="1">
      <c r="A19" s="10">
        <v>2021.0</v>
      </c>
      <c r="B19" s="60">
        <v>0.0</v>
      </c>
      <c r="C19" s="53"/>
    </row>
    <row r="20" ht="15.75" customHeight="1">
      <c r="A20" s="10">
        <v>2022.0</v>
      </c>
      <c r="B20" s="60">
        <v>0.0</v>
      </c>
      <c r="C20" s="52"/>
    </row>
    <row r="21" ht="15.75" customHeight="1">
      <c r="A21" s="10">
        <v>2023.0</v>
      </c>
      <c r="B21" s="60">
        <v>0.0</v>
      </c>
      <c r="C21" s="53"/>
    </row>
    <row r="22" ht="15.75" customHeight="1">
      <c r="A22" s="10">
        <v>2024.0</v>
      </c>
      <c r="B22" s="60">
        <v>1.0</v>
      </c>
      <c r="C22" s="62" t="s">
        <v>66</v>
      </c>
    </row>
    <row r="23" ht="15.75" customHeight="1">
      <c r="A23" s="7">
        <v>2025.0</v>
      </c>
      <c r="B23" s="54">
        <v>0.0</v>
      </c>
      <c r="C23" s="55"/>
    </row>
    <row r="24" ht="15.75" customHeight="1">
      <c r="A24" s="7">
        <v>2026.0</v>
      </c>
      <c r="B24" s="60">
        <v>2.0</v>
      </c>
      <c r="C24" s="55" t="s">
        <v>67</v>
      </c>
    </row>
    <row r="25" ht="15.75" customHeight="1">
      <c r="A25" s="21"/>
      <c r="B25" s="23"/>
      <c r="C25" s="11"/>
    </row>
    <row r="26" ht="15.75" customHeight="1">
      <c r="A26" s="56"/>
      <c r="B26" s="57">
        <v>20.0</v>
      </c>
      <c r="C26" s="56"/>
    </row>
    <row r="27" ht="15.75" customHeight="1">
      <c r="A27" s="63"/>
      <c r="B27" s="64" t="s">
        <v>68</v>
      </c>
      <c r="C27" s="63"/>
    </row>
    <row r="28" ht="15.75" customHeight="1">
      <c r="A28" s="29"/>
      <c r="C28" s="29"/>
    </row>
    <row r="29" ht="15.75" customHeight="1"/>
    <row r="30" ht="15.75" customHeight="1"/>
    <row r="31" ht="15.75" customHeight="1">
      <c r="A31" s="30" t="s">
        <v>57</v>
      </c>
    </row>
    <row r="32" ht="15.75" customHeight="1">
      <c r="A32" s="30" t="s">
        <v>16</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printOptions gridLines="1" horizontalCentered="1"/>
  <pageMargins bottom="0.75" footer="0.0" header="0.0" left="0.7" right="0.7" top="0.75"/>
  <pageSetup paperSize="9" cellComments="atEnd" orientation="landscape" pageOrder="overThenDown"/>
  <drawing r:id="rId1"/>
  <tableParts count="1">
    <tablePart r:id="rId3"/>
  </tableParts>
</worksheet>
</file>